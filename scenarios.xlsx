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sus\Desktop\Thesis\"/>
    </mc:Choice>
  </mc:AlternateContent>
  <xr:revisionPtr revIDLastSave="0" documentId="13_ncr:1_{66CA7D7E-5181-4B77-BBF1-7A5345C3B6E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48" i="1"/>
  <c r="G47" i="1"/>
  <c r="G46" i="1"/>
  <c r="V8" i="1"/>
  <c r="V6" i="1"/>
  <c r="V5" i="1"/>
  <c r="V4" i="1"/>
</calcChain>
</file>

<file path=xl/sharedStrings.xml><?xml version="1.0" encoding="utf-8"?>
<sst xmlns="http://schemas.openxmlformats.org/spreadsheetml/2006/main" count="61" uniqueCount="23">
  <si>
    <t>Fixed Cost in Facility</t>
  </si>
  <si>
    <t>MARGINAL</t>
  </si>
  <si>
    <t>Baku</t>
  </si>
  <si>
    <t>Quba</t>
  </si>
  <si>
    <t>Ismayilli</t>
  </si>
  <si>
    <t>Samakhi</t>
  </si>
  <si>
    <t>Shirvan</t>
  </si>
  <si>
    <t>Lankaran</t>
  </si>
  <si>
    <t>Shaki</t>
  </si>
  <si>
    <t>Khankandi</t>
  </si>
  <si>
    <t>Qubadli</t>
  </si>
  <si>
    <t>Qazakh</t>
  </si>
  <si>
    <t>Lachin</t>
  </si>
  <si>
    <t>Nakhchivan</t>
  </si>
  <si>
    <t>Ganja</t>
  </si>
  <si>
    <t>SMALL</t>
  </si>
  <si>
    <t>MEDIUM</t>
  </si>
  <si>
    <t>LARGE</t>
  </si>
  <si>
    <t>Fixed Cost</t>
  </si>
  <si>
    <t>Production</t>
  </si>
  <si>
    <t>Fixed Cost  in Warehouse</t>
  </si>
  <si>
    <t>Total Cost</t>
  </si>
  <si>
    <t>Number of Warehouses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</si>
</sst>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SMALL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Sheet1!$F$5:$F$17</c:f>
              <c:strCache>
                <c:ptCount val="13"/>
                <c:pt idx="0">
                  <c:v>Baku</c:v>
                </c:pt>
                <c:pt idx="1">
                  <c:v>Quba</c:v>
                </c:pt>
                <c:pt idx="2">
                  <c:v>Ismayilli</c:v>
                </c:pt>
                <c:pt idx="3">
                  <c:v>Samakhi</c:v>
                </c:pt>
                <c:pt idx="4">
                  <c:v>Shirvan</c:v>
                </c:pt>
                <c:pt idx="5">
                  <c:v>Lankaran</c:v>
                </c:pt>
                <c:pt idx="6">
                  <c:v>Shaki</c:v>
                </c:pt>
                <c:pt idx="7">
                  <c:v>Khankandi</c:v>
                </c:pt>
                <c:pt idx="8">
                  <c:v>Qubadli</c:v>
                </c:pt>
                <c:pt idx="9">
                  <c:v>Qazakh</c:v>
                </c:pt>
                <c:pt idx="10">
                  <c:v>Lachin</c:v>
                </c:pt>
                <c:pt idx="11">
                  <c:v>Nakhchivan</c:v>
                </c:pt>
                <c:pt idx="12">
                  <c:v>Ganja</c:v>
                </c:pt>
              </c:strCache>
            </c:strRef>
          </c:cat>
          <c:val>
            <c:numRef>
              <c:f>Sheet1!$G$5:$G$17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4-46B6-877F-2905ECB527F1}"/>
            </c:ext>
          </c:extLst>
        </c:ser>
        <c:ser>
          <c:idx val="1"/>
          <c:order val="1"/>
          <c:tx>
            <c:strRef>
              <c:f>Sheet1!$H$4</c:f>
              <c:strCache>
                <c:ptCount val="1"/>
                <c:pt idx="0">
                  <c:v>MEDIUM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Sheet1!$F$5:$F$17</c:f>
              <c:strCache>
                <c:ptCount val="13"/>
                <c:pt idx="0">
                  <c:v>Baku</c:v>
                </c:pt>
                <c:pt idx="1">
                  <c:v>Quba</c:v>
                </c:pt>
                <c:pt idx="2">
                  <c:v>Ismayilli</c:v>
                </c:pt>
                <c:pt idx="3">
                  <c:v>Samakhi</c:v>
                </c:pt>
                <c:pt idx="4">
                  <c:v>Shirvan</c:v>
                </c:pt>
                <c:pt idx="5">
                  <c:v>Lankaran</c:v>
                </c:pt>
                <c:pt idx="6">
                  <c:v>Shaki</c:v>
                </c:pt>
                <c:pt idx="7">
                  <c:v>Khankandi</c:v>
                </c:pt>
                <c:pt idx="8">
                  <c:v>Qubadli</c:v>
                </c:pt>
                <c:pt idx="9">
                  <c:v>Qazakh</c:v>
                </c:pt>
                <c:pt idx="10">
                  <c:v>Lachin</c:v>
                </c:pt>
                <c:pt idx="11">
                  <c:v>Nakhchivan</c:v>
                </c:pt>
                <c:pt idx="12">
                  <c:v>Ganja</c:v>
                </c:pt>
              </c:strCache>
            </c:strRef>
          </c:cat>
          <c:val>
            <c:numRef>
              <c:f>Sheet1!$H$5:$H$17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4500</c:v>
                </c:pt>
                <c:pt idx="8">
                  <c:v>2500</c:v>
                </c:pt>
                <c:pt idx="9">
                  <c:v>0</c:v>
                </c:pt>
                <c:pt idx="10">
                  <c:v>0</c:v>
                </c:pt>
                <c:pt idx="11">
                  <c:v>2500</c:v>
                </c:pt>
                <c:pt idx="12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4-46B6-877F-2905ECB527F1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LARGE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Sheet1!$F$5:$F$17</c:f>
              <c:strCache>
                <c:ptCount val="13"/>
                <c:pt idx="0">
                  <c:v>Baku</c:v>
                </c:pt>
                <c:pt idx="1">
                  <c:v>Quba</c:v>
                </c:pt>
                <c:pt idx="2">
                  <c:v>Ismayilli</c:v>
                </c:pt>
                <c:pt idx="3">
                  <c:v>Samakhi</c:v>
                </c:pt>
                <c:pt idx="4">
                  <c:v>Shirvan</c:v>
                </c:pt>
                <c:pt idx="5">
                  <c:v>Lankaran</c:v>
                </c:pt>
                <c:pt idx="6">
                  <c:v>Shaki</c:v>
                </c:pt>
                <c:pt idx="7">
                  <c:v>Khankandi</c:v>
                </c:pt>
                <c:pt idx="8">
                  <c:v>Qubadli</c:v>
                </c:pt>
                <c:pt idx="9">
                  <c:v>Qazakh</c:v>
                </c:pt>
                <c:pt idx="10">
                  <c:v>Lachin</c:v>
                </c:pt>
                <c:pt idx="11">
                  <c:v>Nakhchivan</c:v>
                </c:pt>
                <c:pt idx="12">
                  <c:v>Ganja</c:v>
                </c:pt>
              </c:strCache>
            </c:strRef>
          </c:cat>
          <c:val>
            <c:numRef>
              <c:f>Sheet1!$I$5:$I$17</c:f>
              <c:numCache>
                <c:formatCode>General</c:formatCode>
                <c:ptCount val="13"/>
                <c:pt idx="0">
                  <c:v>9500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6950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C4-46B6-877F-2905ECB527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0064351"/>
        <c:axId val="1350064831"/>
      </c:lineChart>
      <c:catAx>
        <c:axId val="135006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064831"/>
        <c:crosses val="autoZero"/>
        <c:auto val="1"/>
        <c:lblAlgn val="ctr"/>
        <c:lblOffset val="100"/>
        <c:noMultiLvlLbl val="0"/>
      </c:catAx>
      <c:valAx>
        <c:axId val="135006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06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Number of Warehouses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 w="9525">
              <a:solidFill>
                <a:schemeClr val="accent1"/>
              </a:solidFill>
            </a:ln>
            <a:effectLst/>
            <a:sp3d contourW="9525">
              <a:contourClr>
                <a:schemeClr val="accent1"/>
              </a:contourClr>
            </a:sp3d>
          </c:spPr>
          <c:cat>
            <c:numLit>
              <c:formatCode>General</c:formatCode>
              <c:ptCount val="5"/>
              <c:pt idx="0">
                <c:v>10</c:v>
              </c:pt>
              <c:pt idx="1">
                <c:v>7</c:v>
              </c:pt>
              <c:pt idx="2">
                <c:v>6</c:v>
              </c:pt>
              <c:pt idx="3">
                <c:v>5</c:v>
              </c:pt>
              <c:pt idx="4">
                <c:v>4</c:v>
              </c:pt>
            </c:numLit>
          </c:cat>
          <c:val>
            <c:numRef>
              <c:f>Sheet1!$U$4:$U$8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D-4FFE-B4AD-8237E2BE767C}"/>
            </c:ext>
          </c:extLst>
        </c:ser>
        <c:ser>
          <c:idx val="1"/>
          <c:order val="1"/>
          <c:tx>
            <c:strRef>
              <c:f>Sheet1!$V$3</c:f>
              <c:strCache>
                <c:ptCount val="1"/>
                <c:pt idx="0">
                  <c:v>Fixed Cost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  <a:alpha val="70000"/>
              </a:schemeClr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  <a:sp3d contourW="9525">
              <a:contourClr>
                <a:schemeClr val="accent5">
                  <a:lumMod val="40000"/>
                  <a:lumOff val="60000"/>
                </a:schemeClr>
              </a:contourClr>
            </a:sp3d>
          </c:spPr>
          <c:cat>
            <c:numLit>
              <c:formatCode>General</c:formatCode>
              <c:ptCount val="5"/>
              <c:pt idx="0">
                <c:v>10</c:v>
              </c:pt>
              <c:pt idx="1">
                <c:v>7</c:v>
              </c:pt>
              <c:pt idx="2">
                <c:v>6</c:v>
              </c:pt>
              <c:pt idx="3">
                <c:v>5</c:v>
              </c:pt>
              <c:pt idx="4">
                <c:v>4</c:v>
              </c:pt>
            </c:numLit>
          </c:cat>
          <c:val>
            <c:numRef>
              <c:f>Sheet1!$V$4:$V$8</c:f>
              <c:numCache>
                <c:formatCode>General</c:formatCode>
                <c:ptCount val="5"/>
                <c:pt idx="0">
                  <c:v>90950</c:v>
                </c:pt>
                <c:pt idx="1">
                  <c:v>93750</c:v>
                </c:pt>
                <c:pt idx="2">
                  <c:v>96750</c:v>
                </c:pt>
                <c:pt idx="3" formatCode="0">
                  <c:v>96550</c:v>
                </c:pt>
                <c:pt idx="4">
                  <c:v>93300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D-4FFE-B4AD-8237E2BE7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28"/>
        <c:axId val="1415893664"/>
        <c:axId val="1415882624"/>
        <c:axId val="1361405983"/>
      </c:area3DChart>
      <c:catAx>
        <c:axId val="141589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>
                <a:lumMod val="5000"/>
                <a:lumOff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82624"/>
        <c:crosses val="autoZero"/>
        <c:auto val="1"/>
        <c:lblAlgn val="ctr"/>
        <c:lblOffset val="100"/>
        <c:noMultiLvlLbl val="0"/>
      </c:catAx>
      <c:valAx>
        <c:axId val="14158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>
                <a:lumMod val="5000"/>
                <a:lumOff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93664"/>
        <c:crosses val="autoZero"/>
        <c:crossBetween val="midCat"/>
      </c:valAx>
      <c:serAx>
        <c:axId val="1361405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"/>
                <a:lumOff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826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and 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Number of Warehouses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Sheet1!$U$4:$U$8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3-49E5-9289-956881206D6F}"/>
            </c:ext>
          </c:extLst>
        </c:ser>
        <c:ser>
          <c:idx val="1"/>
          <c:order val="1"/>
          <c:tx>
            <c:strRef>
              <c:f>Sheet1!$V$3</c:f>
              <c:strCache>
                <c:ptCount val="1"/>
                <c:pt idx="0">
                  <c:v>Fixed Cost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Sheet1!$V$4:$V$8</c:f>
              <c:numCache>
                <c:formatCode>General</c:formatCode>
                <c:ptCount val="5"/>
                <c:pt idx="0">
                  <c:v>90950</c:v>
                </c:pt>
                <c:pt idx="1">
                  <c:v>93750</c:v>
                </c:pt>
                <c:pt idx="2">
                  <c:v>96750</c:v>
                </c:pt>
                <c:pt idx="3" formatCode="0">
                  <c:v>96550</c:v>
                </c:pt>
                <c:pt idx="4">
                  <c:v>93300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3-49E5-9289-956881206D6F}"/>
            </c:ext>
          </c:extLst>
        </c:ser>
        <c:ser>
          <c:idx val="2"/>
          <c:order val="2"/>
          <c:tx>
            <c:strRef>
              <c:f>Sheet1!$W$3</c:f>
              <c:strCache>
                <c:ptCount val="1"/>
                <c:pt idx="0">
                  <c:v>Total Cost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Sheet1!$W$4:$W$8</c:f>
              <c:numCache>
                <c:formatCode>General</c:formatCode>
                <c:ptCount val="5"/>
                <c:pt idx="0">
                  <c:v>26530550</c:v>
                </c:pt>
                <c:pt idx="1">
                  <c:v>19803250</c:v>
                </c:pt>
                <c:pt idx="2">
                  <c:v>19434500</c:v>
                </c:pt>
                <c:pt idx="3">
                  <c:v>19252800</c:v>
                </c:pt>
                <c:pt idx="4" formatCode="0">
                  <c:v>19126049.998679001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3-49E5-9289-956881206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86180383"/>
        <c:axId val="1286181823"/>
      </c:lineChart>
      <c:catAx>
        <c:axId val="128618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81823"/>
        <c:crosses val="autoZero"/>
        <c:auto val="1"/>
        <c:lblAlgn val="ctr"/>
        <c:lblOffset val="100"/>
        <c:noMultiLvlLbl val="0"/>
      </c:catAx>
      <c:valAx>
        <c:axId val="128618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803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Fixed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Number of Warehouses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Sheet1!$U$4:$U$8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A-43BF-A2A2-673358E41715}"/>
            </c:ext>
          </c:extLst>
        </c:ser>
        <c:ser>
          <c:idx val="1"/>
          <c:order val="1"/>
          <c:tx>
            <c:strRef>
              <c:f>Sheet1!$V$3</c:f>
              <c:strCache>
                <c:ptCount val="1"/>
                <c:pt idx="0">
                  <c:v>Fixed 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Sheet1!$V$4:$V$8</c:f>
              <c:numCache>
                <c:formatCode>General</c:formatCode>
                <c:ptCount val="5"/>
                <c:pt idx="0">
                  <c:v>90950</c:v>
                </c:pt>
                <c:pt idx="1">
                  <c:v>93750</c:v>
                </c:pt>
                <c:pt idx="2">
                  <c:v>96750</c:v>
                </c:pt>
                <c:pt idx="3" formatCode="0">
                  <c:v>96550</c:v>
                </c:pt>
                <c:pt idx="4">
                  <c:v>93300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A-43BF-A2A2-673358E41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167423"/>
        <c:axId val="1286169823"/>
      </c:lineChart>
      <c:catAx>
        <c:axId val="128616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69823"/>
        <c:crosses val="autoZero"/>
        <c:auto val="1"/>
        <c:lblAlgn val="ctr"/>
        <c:lblOffset val="100"/>
        <c:noMultiLvlLbl val="0"/>
      </c:catAx>
      <c:valAx>
        <c:axId val="12861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6742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Number of Warehouses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Sheet1!$U$4:$U$8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C-46DF-BB8E-4B976840F920}"/>
            </c:ext>
          </c:extLst>
        </c:ser>
        <c:ser>
          <c:idx val="1"/>
          <c:order val="1"/>
          <c:tx>
            <c:strRef>
              <c:f>Sheet1!$W$3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Sheet1!$W$4:$W$8</c:f>
              <c:numCache>
                <c:formatCode>General</c:formatCode>
                <c:ptCount val="5"/>
                <c:pt idx="0">
                  <c:v>26530550</c:v>
                </c:pt>
                <c:pt idx="1">
                  <c:v>19803250</c:v>
                </c:pt>
                <c:pt idx="2">
                  <c:v>19434500</c:v>
                </c:pt>
                <c:pt idx="3">
                  <c:v>19252800</c:v>
                </c:pt>
                <c:pt idx="4" formatCode="0">
                  <c:v>19126049.998679001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C-46DF-BB8E-4B976840F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242607"/>
        <c:axId val="1359244047"/>
      </c:lineChart>
      <c:catAx>
        <c:axId val="1359242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244047"/>
        <c:crosses val="autoZero"/>
        <c:auto val="1"/>
        <c:lblAlgn val="ctr"/>
        <c:lblOffset val="100"/>
        <c:noMultiLvlLbl val="0"/>
      </c:catAx>
      <c:valAx>
        <c:axId val="135924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24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10</c:v>
              </c:pt>
              <c:pt idx="1">
                <c:v>7</c:v>
              </c:pt>
              <c:pt idx="2">
                <c:v>6</c:v>
              </c:pt>
              <c:pt idx="3">
                <c:v>5</c:v>
              </c:pt>
              <c:pt idx="4">
                <c:v>4</c:v>
              </c:pt>
            </c:numLit>
          </c:cat>
          <c:val>
            <c:numRef>
              <c:f>Sheet1!$H$46:$H$50</c:f>
              <c:numCache>
                <c:formatCode>General</c:formatCode>
                <c:ptCount val="5"/>
                <c:pt idx="0">
                  <c:v>26530550</c:v>
                </c:pt>
                <c:pt idx="1">
                  <c:v>19803250</c:v>
                </c:pt>
                <c:pt idx="2">
                  <c:v>19434500</c:v>
                </c:pt>
                <c:pt idx="3">
                  <c:v>19252800</c:v>
                </c:pt>
                <c:pt idx="4" formatCode="0">
                  <c:v>19126049.998679001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3-4D10-B86D-832DCA79D2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2"/>
        <c:gapDepth val="300"/>
        <c:shape val="box"/>
        <c:axId val="2048274992"/>
        <c:axId val="1801482080"/>
        <c:axId val="0"/>
      </c:bar3DChart>
      <c:catAx>
        <c:axId val="20482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482080"/>
        <c:crosses val="autoZero"/>
        <c:auto val="1"/>
        <c:lblAlgn val="ctr"/>
        <c:lblOffset val="100"/>
        <c:noMultiLvlLbl val="0"/>
      </c:catAx>
      <c:valAx>
        <c:axId val="180148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7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5000"/>
            <a:lumOff val="95000"/>
          </a:schemeClr>
        </a:solidFill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35000"/>
        </a:schemeClr>
      </a:solidFill>
      <a:ln w="9525">
        <a:solidFill>
          <a:schemeClr val="phClr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35000"/>
        </a:schemeClr>
      </a:solidFill>
      <a:ln w="9525"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5000"/>
            <a:lumOff val="9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232103</xdr:colOff>
      <xdr:row>17</xdr:row>
      <xdr:rowOff>142912</xdr:rowOff>
    </xdr:from>
    <xdr:to>
      <xdr:col>5</xdr:col>
      <xdr:colOff>1300655</xdr:colOff>
      <xdr:row>32</xdr:row>
      <xdr:rowOff>149043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5DAEB6-D509-AD7C-7245-785114E72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460910</xdr:colOff>
      <xdr:row>10</xdr:row>
      <xdr:rowOff>48231</xdr:rowOff>
    </xdr:from>
    <xdr:to>
      <xdr:col>23</xdr:col>
      <xdr:colOff>24259</xdr:colOff>
      <xdr:row>25</xdr:row>
      <xdr:rowOff>8847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65E275-80E4-EC01-4654-1617FD887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161246</xdr:colOff>
      <xdr:row>25</xdr:row>
      <xdr:rowOff>169524</xdr:rowOff>
    </xdr:from>
    <xdr:to>
      <xdr:col>20</xdr:col>
      <xdr:colOff>1230044</xdr:colOff>
      <xdr:row>40</xdr:row>
      <xdr:rowOff>130140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62275E2-A288-AACC-0099-AB9D1F2F4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1616754</xdr:colOff>
      <xdr:row>26</xdr:row>
      <xdr:rowOff>5422</xdr:rowOff>
    </xdr:from>
    <xdr:to>
      <xdr:col>26</xdr:col>
      <xdr:colOff>31395</xdr:colOff>
      <xdr:row>40</xdr:row>
      <xdr:rowOff>151543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88DE367-8DBC-F068-4B9D-FA62B3427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468045</xdr:colOff>
      <xdr:row>26</xdr:row>
      <xdr:rowOff>33961</xdr:rowOff>
    </xdr:from>
    <xdr:to>
      <xdr:col>34</xdr:col>
      <xdr:colOff>188359</xdr:colOff>
      <xdr:row>40</xdr:row>
      <xdr:rowOff>180082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DA4DF45-DACB-8A76-A425-26EA6C7A4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283990</xdr:colOff>
      <xdr:row>51</xdr:row>
      <xdr:rowOff>2232</xdr:rowOff>
    </xdr:from>
    <xdr:to>
      <xdr:col>9</xdr:col>
      <xdr:colOff>247316</xdr:colOff>
      <xdr:row>65</xdr:row>
      <xdr:rowOff>146381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3A0F1F-A254-422D-D945-248832039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L18" zoomScale="68" zoomScaleNormal="130" workbookViewId="0">
      <selection activeCell="AB11" sqref="AB11"/>
    </sheetView>
  </sheetViews>
  <sheetFormatPr defaultRowHeight="14.5" x14ac:dyDescent="0.35"/>
  <cols>
    <col min="1" max="1" width="12.7265625" customWidth="1"/>
    <col min="2" max="2" width="19.7265625" customWidth="1"/>
    <col min="3" max="3" width="10.1796875" customWidth="1"/>
    <col min="4" max="4" width="11.54296875" customWidth="1"/>
    <col min="5" max="5" width="8.7265625" customWidth="1"/>
    <col min="6" max="6" width="24.81640625" customWidth="1"/>
    <col min="7" max="7" width="12.54296875" customWidth="1"/>
    <col min="8" max="8" width="14.26953125" customWidth="1"/>
    <col min="9" max="9" width="21.90625" customWidth="1"/>
    <col min="10" max="10" width="14.36328125" customWidth="1"/>
    <col min="11" max="11" width="17.81640625" customWidth="1"/>
    <col min="12" max="12" width="13" customWidth="1"/>
    <col min="13" max="13" width="12" customWidth="1"/>
    <col min="14" max="14" width="10.7265625" customWidth="1"/>
    <col min="15" max="15" width="15.08984375" customWidth="1"/>
    <col min="16" max="16" width="12.7265625" customWidth="1"/>
    <col min="17" max="17" width="10.453125" customWidth="1"/>
    <col min="20" max="20" width="9.6328125" customWidth="1"/>
    <col min="21" max="21" width="25.453125" customWidth="1"/>
    <col min="22" max="22" width="16.6328125" customWidth="1"/>
    <col min="23" max="23" width="20" customWidth="1"/>
  </cols>
  <sheetData>
    <row r="1" spans="1:23" ht="15.5" x14ac:dyDescent="0.35">
      <c r="A1" s="1"/>
    </row>
    <row r="2" spans="1:23" ht="15" thickBot="1" x14ac:dyDescent="0.4"/>
    <row r="3" spans="1:23" x14ac:dyDescent="0.35">
      <c r="B3" s="2" t="s">
        <v>0</v>
      </c>
      <c r="C3" s="13" t="s">
        <v>1</v>
      </c>
      <c r="D3" s="10"/>
      <c r="F3" s="6"/>
      <c r="G3" s="3"/>
      <c r="H3" s="3"/>
      <c r="I3" s="3"/>
      <c r="K3" s="2" t="s">
        <v>19</v>
      </c>
      <c r="L3" s="3" t="s">
        <v>2</v>
      </c>
      <c r="M3" s="3" t="s">
        <v>5</v>
      </c>
      <c r="N3" s="3" t="s">
        <v>9</v>
      </c>
      <c r="O3" s="3" t="s">
        <v>10</v>
      </c>
      <c r="P3" s="3" t="s">
        <v>12</v>
      </c>
      <c r="Q3" s="3" t="s">
        <v>13</v>
      </c>
      <c r="R3" s="3" t="s">
        <v>14</v>
      </c>
      <c r="U3" s="23" t="s">
        <v>22</v>
      </c>
      <c r="V3" s="24" t="s">
        <v>18</v>
      </c>
      <c r="W3" s="25" t="s">
        <v>21</v>
      </c>
    </row>
    <row r="4" spans="1:23" x14ac:dyDescent="0.35">
      <c r="B4" s="4" t="s">
        <v>2</v>
      </c>
      <c r="C4" s="14">
        <v>16000</v>
      </c>
      <c r="D4" s="11"/>
      <c r="F4" s="6" t="s">
        <v>20</v>
      </c>
      <c r="G4" s="3" t="s">
        <v>15</v>
      </c>
      <c r="H4" s="3" t="s">
        <v>16</v>
      </c>
      <c r="I4" s="3" t="s">
        <v>17</v>
      </c>
      <c r="K4" s="7" t="s">
        <v>2</v>
      </c>
      <c r="L4" s="8">
        <v>456500</v>
      </c>
      <c r="M4" s="8">
        <v>5000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U4" s="21">
        <v>4</v>
      </c>
      <c r="V4" s="16">
        <f>4500+2500+9500+6950+20000+16500+16000+15000</f>
        <v>90950</v>
      </c>
      <c r="W4" s="18">
        <v>26530550</v>
      </c>
    </row>
    <row r="5" spans="1:23" x14ac:dyDescent="0.35">
      <c r="B5" s="3" t="s">
        <v>3</v>
      </c>
      <c r="C5" s="15">
        <v>5000</v>
      </c>
      <c r="D5" s="12"/>
      <c r="F5" s="7" t="s">
        <v>2</v>
      </c>
      <c r="G5" s="5">
        <v>0</v>
      </c>
      <c r="H5" s="5">
        <v>0</v>
      </c>
      <c r="I5" s="4">
        <v>9500</v>
      </c>
      <c r="K5" s="3" t="s">
        <v>3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U5" s="21">
        <v>5</v>
      </c>
      <c r="V5" s="16">
        <f>4500+2500+1600+6950+9500+20000+16500+16000+15000+1200</f>
        <v>93750</v>
      </c>
      <c r="W5" s="18">
        <v>19803250</v>
      </c>
    </row>
    <row r="6" spans="1:23" x14ac:dyDescent="0.35">
      <c r="B6" s="3" t="s">
        <v>4</v>
      </c>
      <c r="C6" s="15">
        <v>4000</v>
      </c>
      <c r="D6" s="12"/>
      <c r="F6" s="3" t="s">
        <v>3</v>
      </c>
      <c r="G6" s="5">
        <v>0</v>
      </c>
      <c r="H6" s="5">
        <v>0</v>
      </c>
      <c r="I6" s="5">
        <v>0</v>
      </c>
      <c r="K6" s="3" t="s">
        <v>4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U6" s="21">
        <v>6</v>
      </c>
      <c r="V6" s="16">
        <f>9500+7000+4100+6950+20000+16500+16500+15000+1200</f>
        <v>96750</v>
      </c>
      <c r="W6" s="18">
        <v>19434500</v>
      </c>
    </row>
    <row r="7" spans="1:23" x14ac:dyDescent="0.35">
      <c r="B7" s="3" t="s">
        <v>5</v>
      </c>
      <c r="C7" s="15">
        <v>4000</v>
      </c>
      <c r="D7" s="12"/>
      <c r="F7" s="3" t="s">
        <v>4</v>
      </c>
      <c r="G7" s="5">
        <v>0</v>
      </c>
      <c r="H7" s="5">
        <v>0</v>
      </c>
      <c r="I7" s="5">
        <v>0</v>
      </c>
      <c r="K7" s="3" t="s">
        <v>5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U7" s="21">
        <v>7</v>
      </c>
      <c r="V7" s="17">
        <v>96550</v>
      </c>
      <c r="W7" s="18">
        <v>19252800</v>
      </c>
    </row>
    <row r="8" spans="1:23" ht="15" thickBot="1" x14ac:dyDescent="0.4">
      <c r="B8" s="3" t="s">
        <v>6</v>
      </c>
      <c r="C8" s="15">
        <v>3500</v>
      </c>
      <c r="D8" s="12"/>
      <c r="F8" s="7" t="s">
        <v>5</v>
      </c>
      <c r="G8" s="4">
        <v>300</v>
      </c>
      <c r="H8" s="5">
        <v>0</v>
      </c>
      <c r="I8" s="5">
        <v>0</v>
      </c>
      <c r="K8" s="3" t="s">
        <v>6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U8" s="22">
        <v>10</v>
      </c>
      <c r="V8" s="19">
        <f>650+350+3500+1000+1000+4500+2500+2550+1600+6950+20000+16500+16000+15000+1200</f>
        <v>93300</v>
      </c>
      <c r="W8" s="20">
        <v>19126049.998679001</v>
      </c>
    </row>
    <row r="9" spans="1:23" x14ac:dyDescent="0.35">
      <c r="B9" s="3" t="s">
        <v>7</v>
      </c>
      <c r="C9" s="15">
        <v>5500</v>
      </c>
      <c r="D9" s="12"/>
      <c r="F9" s="3" t="s">
        <v>6</v>
      </c>
      <c r="G9" s="5">
        <v>0</v>
      </c>
      <c r="H9" s="5">
        <v>0</v>
      </c>
      <c r="I9" s="5">
        <v>0</v>
      </c>
      <c r="K9" s="3" t="s">
        <v>7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23" x14ac:dyDescent="0.35">
      <c r="B10" s="3" t="s">
        <v>8</v>
      </c>
      <c r="C10" s="15">
        <v>6000</v>
      </c>
      <c r="D10" s="12"/>
      <c r="F10" s="3" t="s">
        <v>7</v>
      </c>
      <c r="G10" s="5">
        <v>0</v>
      </c>
      <c r="H10" s="5">
        <v>0</v>
      </c>
      <c r="I10" s="5">
        <v>0</v>
      </c>
      <c r="K10" s="3" t="s">
        <v>8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23" x14ac:dyDescent="0.35">
      <c r="B11" s="4" t="s">
        <v>9</v>
      </c>
      <c r="C11" s="14">
        <v>20000</v>
      </c>
      <c r="D11" s="11"/>
      <c r="F11" s="3" t="s">
        <v>8</v>
      </c>
      <c r="G11" s="5">
        <v>0</v>
      </c>
      <c r="H11" s="5">
        <v>0</v>
      </c>
      <c r="I11" s="5">
        <v>0</v>
      </c>
      <c r="K11" s="7" t="s">
        <v>9</v>
      </c>
      <c r="L11" s="5">
        <v>0</v>
      </c>
      <c r="M11" s="5">
        <v>0</v>
      </c>
      <c r="N11" s="8">
        <v>200000</v>
      </c>
      <c r="O11" s="5">
        <v>0</v>
      </c>
      <c r="P11" s="5">
        <v>0</v>
      </c>
      <c r="Q11" s="8">
        <v>5500</v>
      </c>
      <c r="R11" s="5">
        <v>0</v>
      </c>
    </row>
    <row r="12" spans="1:23" x14ac:dyDescent="0.35">
      <c r="B12" s="4" t="s">
        <v>10</v>
      </c>
      <c r="C12" s="14">
        <v>16500</v>
      </c>
      <c r="D12" s="11"/>
      <c r="F12" s="7" t="s">
        <v>9</v>
      </c>
      <c r="G12" s="5">
        <v>0</v>
      </c>
      <c r="H12" s="4">
        <v>4500</v>
      </c>
      <c r="I12" s="5">
        <v>0</v>
      </c>
      <c r="K12" s="7" t="s">
        <v>10</v>
      </c>
      <c r="L12" s="5">
        <v>0</v>
      </c>
      <c r="M12" s="5">
        <v>0</v>
      </c>
      <c r="N12" s="5">
        <v>0</v>
      </c>
      <c r="O12" s="8">
        <v>150000</v>
      </c>
      <c r="P12" s="5">
        <v>0</v>
      </c>
      <c r="Q12" s="5">
        <v>0</v>
      </c>
      <c r="R12" s="5">
        <v>0</v>
      </c>
    </row>
    <row r="13" spans="1:23" x14ac:dyDescent="0.35">
      <c r="B13" s="3" t="s">
        <v>11</v>
      </c>
      <c r="C13" s="15">
        <v>9000</v>
      </c>
      <c r="D13" s="12"/>
      <c r="F13" s="7" t="s">
        <v>10</v>
      </c>
      <c r="G13" s="5">
        <v>0</v>
      </c>
      <c r="H13" s="4">
        <v>2500</v>
      </c>
      <c r="I13" s="5">
        <v>0</v>
      </c>
      <c r="K13" s="3" t="s">
        <v>11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23" x14ac:dyDescent="0.35">
      <c r="B14" s="4" t="s">
        <v>12</v>
      </c>
      <c r="C14" s="14">
        <v>15000</v>
      </c>
      <c r="D14" s="11"/>
      <c r="F14" s="3" t="s">
        <v>11</v>
      </c>
      <c r="G14" s="5">
        <v>0</v>
      </c>
      <c r="H14" s="5">
        <v>0</v>
      </c>
      <c r="I14" s="5">
        <v>0</v>
      </c>
      <c r="K14" s="7" t="s">
        <v>12</v>
      </c>
      <c r="L14" s="5">
        <v>0</v>
      </c>
      <c r="M14" s="5">
        <v>0</v>
      </c>
      <c r="N14" s="5">
        <v>0</v>
      </c>
      <c r="O14" s="5">
        <v>0</v>
      </c>
      <c r="P14" s="8">
        <v>250000</v>
      </c>
      <c r="Q14" s="5">
        <v>0</v>
      </c>
      <c r="R14" s="5">
        <v>0</v>
      </c>
    </row>
    <row r="15" spans="1:23" x14ac:dyDescent="0.35">
      <c r="B15" s="3" t="s">
        <v>13</v>
      </c>
      <c r="C15" s="15">
        <v>12500</v>
      </c>
      <c r="D15" s="12"/>
      <c r="F15" s="7" t="s">
        <v>12</v>
      </c>
      <c r="G15" s="5">
        <v>0</v>
      </c>
      <c r="H15" s="5">
        <v>0</v>
      </c>
      <c r="I15" s="4">
        <v>6950</v>
      </c>
      <c r="K15" s="3" t="s">
        <v>13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23" x14ac:dyDescent="0.35">
      <c r="B16" s="4" t="s">
        <v>14</v>
      </c>
      <c r="C16" s="14">
        <v>1200</v>
      </c>
      <c r="D16" s="11"/>
      <c r="F16" s="7" t="s">
        <v>13</v>
      </c>
      <c r="G16" s="5">
        <v>0</v>
      </c>
      <c r="H16" s="4">
        <v>2500</v>
      </c>
      <c r="I16" s="5">
        <v>0</v>
      </c>
      <c r="K16" s="7" t="s">
        <v>14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8">
        <v>24000</v>
      </c>
    </row>
    <row r="17" spans="6:14" x14ac:dyDescent="0.35">
      <c r="F17" s="7" t="s">
        <v>14</v>
      </c>
      <c r="G17" s="5">
        <v>0</v>
      </c>
      <c r="H17" s="4">
        <v>1600</v>
      </c>
      <c r="I17" s="5">
        <v>0</v>
      </c>
    </row>
    <row r="19" spans="6:14" x14ac:dyDescent="0.35">
      <c r="N19" s="9"/>
    </row>
    <row r="44" spans="6:14" ht="15" thickBot="1" x14ac:dyDescent="0.4"/>
    <row r="45" spans="6:14" x14ac:dyDescent="0.35">
      <c r="F45" s="23" t="s">
        <v>22</v>
      </c>
      <c r="G45" s="24" t="s">
        <v>18</v>
      </c>
      <c r="H45" s="26" t="s">
        <v>21</v>
      </c>
      <c r="I45" s="28" t="s">
        <v>22</v>
      </c>
      <c r="J45" s="28">
        <v>4</v>
      </c>
      <c r="K45" s="28">
        <v>5</v>
      </c>
      <c r="L45" s="28">
        <v>6</v>
      </c>
      <c r="M45" s="28">
        <v>7</v>
      </c>
      <c r="N45" s="28">
        <v>10</v>
      </c>
    </row>
    <row r="46" spans="6:14" x14ac:dyDescent="0.35">
      <c r="F46" s="21">
        <v>4</v>
      </c>
      <c r="G46" s="16">
        <f>4500+2500+9500+6950+20000+16500+16000+15000</f>
        <v>90950</v>
      </c>
      <c r="H46" s="27">
        <v>26530550</v>
      </c>
      <c r="I46" s="28" t="s">
        <v>21</v>
      </c>
      <c r="J46" s="28">
        <v>26530550</v>
      </c>
      <c r="K46" s="28">
        <v>19803250</v>
      </c>
      <c r="L46" s="28">
        <v>19434500</v>
      </c>
      <c r="M46" s="28">
        <v>19252800</v>
      </c>
      <c r="N46" s="11">
        <v>19126049.998679001</v>
      </c>
    </row>
    <row r="47" spans="6:14" x14ac:dyDescent="0.35">
      <c r="F47" s="21">
        <v>5</v>
      </c>
      <c r="G47" s="16">
        <f>4500+2500+1600+6950+9500+20000+16500+16000+15000+1200</f>
        <v>93750</v>
      </c>
      <c r="H47" s="18">
        <v>19803250</v>
      </c>
    </row>
    <row r="48" spans="6:14" x14ac:dyDescent="0.35">
      <c r="F48" s="21">
        <v>6</v>
      </c>
      <c r="G48" s="16">
        <f>9500+7000+4100+6950+20000+16500+16500+15000+1200</f>
        <v>96750</v>
      </c>
      <c r="H48" s="18">
        <v>19434500</v>
      </c>
    </row>
    <row r="49" spans="6:8" x14ac:dyDescent="0.35">
      <c r="F49" s="21">
        <v>7</v>
      </c>
      <c r="G49" s="17">
        <v>96550</v>
      </c>
      <c r="H49" s="18">
        <v>19252800</v>
      </c>
    </row>
    <row r="50" spans="6:8" ht="15" thickBot="1" x14ac:dyDescent="0.4">
      <c r="F50" s="22">
        <v>10</v>
      </c>
      <c r="G50" s="19">
        <f>650+350+3500+1000+1000+4500+2500+2550+1600+6950+20000+16500+16000+15000+1200</f>
        <v>93300</v>
      </c>
      <c r="H50" s="20">
        <v>19126049.998679001</v>
      </c>
    </row>
  </sheetData>
  <conditionalFormatting sqref="G46:G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H5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:V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:W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NIJAT ALIYEV</cp:lastModifiedBy>
  <dcterms:created xsi:type="dcterms:W3CDTF">2015-06-05T18:17:20Z</dcterms:created>
  <dcterms:modified xsi:type="dcterms:W3CDTF">2025-01-22T23:36:08Z</dcterms:modified>
</cp:coreProperties>
</file>